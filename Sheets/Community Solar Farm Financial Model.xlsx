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<sst xmlns="http://schemas.openxmlformats.org/spreadsheetml/2006/main" count="16" uniqueCount="15">
  <si>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Parameter</t>
  </si>
  <si>
    <t>Value</t>
  </si>
  <si>
    <t>Initial Investment</t>
  </si>
  <si>
    <t>Operational Cost</t>
  </si>
  <si>
    <t>Units Produced per Year</t>
  </si>
  <si>
    <t>Price per kWh</t>
  </si>
  <si>
    <t>Discount Rate</t>
  </si>
  <si>
    <t>Project Life (Years)</t>
  </si>
  <si>
    <t>Year</t>
  </si>
  <si>
    <t>Revenue</t>
  </si>
  <si>
    <t>Net Profit</t>
  </si>
  <si>
    <t>Cumulative Profit</t>
  </si>
  <si>
    <t xml:space="preserve"> Break-Even Year</t>
  </si>
  <si>
    <t xml:space="preserve">NET PRESENT VALUE </t>
  </si>
  <si>
    <t>RETURN ON INVESTMENT (ROI)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</si>
</sst>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sz val="11.0"/>
      <color rgb="FF000000"/>
      <name val="Arial"/>
      <scheme val="minor"/>
    </font>
    <font>
      <sz val="12.0"/>
      <color rgb="FF000000"/>
      <name val="-webkit-standard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9" xfId="0" applyAlignment="1" applyBorder="1" applyFont="1" applyNumberForma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1" fillId="3" fontId="4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0" fontId="2" numFmtId="0" xfId="0" applyBorder="1" applyFont="1"/>
    <xf borderId="1" fillId="3" fontId="1" numFmtId="0" xfId="0" applyAlignment="1" applyBorder="1" applyFont="1">
      <alignment readingOrder="0"/>
    </xf>
    <xf borderId="1" fillId="0" fontId="2" numFmtId="164" xfId="0" applyAlignment="1" applyBorder="1" applyFont="1" applyNumberFormat="1">
      <alignment shrinkToFit="0" wrapText="1"/>
    </xf>
    <xf borderId="1" fillId="3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Solar Farm Investment Recovery</a:t>
            </a:r>
          </a:p>
        </c:rich>
      </c:tx>
      <c:overlay val="0"/>
    </c:title>
    <c:plotArea>
      <c:layout/>
      <c:lineChart>
        <c:ser>
          <c:idx val="0"/>
          <c:order val="0"/>
          <c:tx>
            <c:v>Year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Sheet1!$A$11:$A$35</c:f>
              <c:numCache/>
            </c:numRef>
          </c:val>
          <c:smooth val="0"/>
        </c:ser>
        <c:ser>
          <c:idx val="1"/>
          <c:order val="1"/>
          <c:tx>
            <c:v>Cumulative Profit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Sheet1!$E$11:$E$35</c:f>
              <c:numCache/>
            </c:numRef>
          </c:val>
          <c:smooth val="0"/>
        </c:ser>
        <c:axId val="993881778"/>
        <c:axId val="1495042450"/>
      </c:lineChart>
      <c:catAx>
        <c:axId val="9938817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042450"/>
      </c:catAx>
      <c:valAx>
        <c:axId val="1495042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Cumulative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38817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Solar Farm Financial Performance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YEAR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Sheet1!$A$11:$A$35</c:f>
              <c:numCache/>
            </c:numRef>
          </c:val>
        </c:ser>
        <c:ser>
          <c:idx val="1"/>
          <c:order val="1"/>
          <c:tx>
            <c:v>REVENUE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Sheet1!$B$11:$B$35</c:f>
              <c:numCache/>
            </c:numRef>
          </c:val>
        </c:ser>
        <c:ser>
          <c:idx val="2"/>
          <c:order val="2"/>
          <c:tx>
            <c:v>NET PROFIT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Sheet1!$C$11:$C$35</c:f>
              <c:numCache/>
            </c:numRef>
          </c:val>
        </c:ser>
        <c:ser>
          <c:idx val="3"/>
          <c:order val="3"/>
          <c:tx>
            <c:v>CUMULATIVE PROFIT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Sheet1!$D$11:$D$35</c:f>
              <c:numCache/>
            </c:numRef>
          </c:val>
        </c:ser>
        <c:axId val="563846968"/>
        <c:axId val="1890480138"/>
      </c:bar3DChart>
      <c:catAx>
        <c:axId val="563846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0480138"/>
      </c:catAx>
      <c:valAx>
        <c:axId val="1890480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8469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295275</xdr:colOff>
      <xdr:row>1</xdr:row>
      <xdr:rowOff>9525</xdr:rowOff>
    </xdr:from>
    <xdr:ext cx="4448175" cy="2752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295275</xdr:colOff>
      <xdr:row>13</xdr:row>
      <xdr:rowOff>76200</xdr:rowOff>
    </xdr:from>
    <xdr:ext cx="5172075" cy="31908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E35" displayName="Table1" name="Table1" id="1">
  <tableColumns count="5">
    <tableColumn name="Year" id="1"/>
    <tableColumn name="Revenue" id="2"/>
    <tableColumn name="Operational Cost" id="3"/>
    <tableColumn name="Net Profit" id="4"/>
    <tableColumn name="Cumulative Profit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6.5"/>
    <col customWidth="1" min="3" max="3" width="20.5"/>
    <col customWidth="1" min="4" max="4" width="12.75"/>
    <col customWidth="1" min="5" max="5" width="20.25"/>
  </cols>
  <sheetData>
    <row r="1">
      <c r="A1" s="1" t="s">
        <v>0</v>
      </c>
      <c r="B1" s="1" t="s">
        <v>1</v>
      </c>
    </row>
    <row r="2">
      <c r="A2" s="2" t="s">
        <v>2</v>
      </c>
      <c r="B2" s="2">
        <v>8000000.0</v>
      </c>
    </row>
    <row r="3">
      <c r="A3" s="2" t="s">
        <v>3</v>
      </c>
      <c r="B3" s="2">
        <v>500000.0</v>
      </c>
    </row>
    <row r="4">
      <c r="A4" s="2" t="s">
        <v>4</v>
      </c>
      <c r="B4" s="2">
        <v>438000.0</v>
      </c>
    </row>
    <row r="5">
      <c r="A5" s="2" t="s">
        <v>5</v>
      </c>
      <c r="B5" s="2">
        <v>8.0</v>
      </c>
    </row>
    <row r="6">
      <c r="A6" s="2" t="s">
        <v>6</v>
      </c>
      <c r="B6" s="3">
        <v>0.08</v>
      </c>
    </row>
    <row r="7">
      <c r="A7" s="2" t="s">
        <v>7</v>
      </c>
      <c r="B7" s="2">
        <v>25.0</v>
      </c>
    </row>
    <row r="10" ht="22.5" customHeight="1">
      <c r="A10" s="4" t="s">
        <v>8</v>
      </c>
      <c r="B10" s="4" t="s">
        <v>9</v>
      </c>
      <c r="C10" s="4" t="s">
        <v>3</v>
      </c>
      <c r="D10" s="4" t="s">
        <v>10</v>
      </c>
      <c r="E10" s="4" t="s">
        <v>11</v>
      </c>
    </row>
    <row r="11" ht="22.5" customHeight="1">
      <c r="A11" s="5">
        <v>1.0</v>
      </c>
      <c r="B11" s="6">
        <f t="shared" ref="B11:B35" si="1">$B$4*$B$5</f>
        <v>3504000</v>
      </c>
      <c r="C11" s="6">
        <f t="shared" ref="C11:C35" si="2">$B$3</f>
        <v>500000</v>
      </c>
      <c r="D11" s="6">
        <f t="shared" ref="D11:D35" si="3">B11 - C11</f>
        <v>3004000</v>
      </c>
      <c r="E11" s="6">
        <f>D11 - $B$2</f>
        <v>-4996000</v>
      </c>
    </row>
    <row r="12" ht="22.5" customHeight="1">
      <c r="A12" s="5">
        <v>2.0</v>
      </c>
      <c r="B12" s="6">
        <f t="shared" si="1"/>
        <v>3504000</v>
      </c>
      <c r="C12" s="6">
        <f t="shared" si="2"/>
        <v>500000</v>
      </c>
      <c r="D12" s="6">
        <f t="shared" si="3"/>
        <v>3004000</v>
      </c>
      <c r="E12" s="6">
        <f>E11+D11</f>
        <v>-1992000</v>
      </c>
    </row>
    <row r="13" ht="22.5" customHeight="1">
      <c r="A13" s="5">
        <v>3.0</v>
      </c>
      <c r="B13" s="6">
        <f t="shared" si="1"/>
        <v>3504000</v>
      </c>
      <c r="C13" s="6">
        <f t="shared" si="2"/>
        <v>500000</v>
      </c>
      <c r="D13" s="6">
        <f t="shared" si="3"/>
        <v>3004000</v>
      </c>
      <c r="E13" s="6">
        <f>E12+D11</f>
        <v>1012000</v>
      </c>
    </row>
    <row r="14" ht="22.5" customHeight="1">
      <c r="A14" s="5">
        <v>4.0</v>
      </c>
      <c r="B14" s="6">
        <f t="shared" si="1"/>
        <v>3504000</v>
      </c>
      <c r="C14" s="6">
        <f t="shared" si="2"/>
        <v>500000</v>
      </c>
      <c r="D14" s="6">
        <f t="shared" si="3"/>
        <v>3004000</v>
      </c>
      <c r="E14" s="6">
        <f>E13+D11</f>
        <v>4016000</v>
      </c>
    </row>
    <row r="15" ht="22.5" customHeight="1">
      <c r="A15" s="5">
        <v>5.0</v>
      </c>
      <c r="B15" s="6">
        <f t="shared" si="1"/>
        <v>3504000</v>
      </c>
      <c r="C15" s="6">
        <f t="shared" si="2"/>
        <v>500000</v>
      </c>
      <c r="D15" s="6">
        <f t="shared" si="3"/>
        <v>3004000</v>
      </c>
      <c r="E15" s="6">
        <f>E14+D11</f>
        <v>7020000</v>
      </c>
    </row>
    <row r="16" ht="22.5" customHeight="1">
      <c r="A16" s="5">
        <v>6.0</v>
      </c>
      <c r="B16" s="6">
        <f t="shared" si="1"/>
        <v>3504000</v>
      </c>
      <c r="C16" s="6">
        <f t="shared" si="2"/>
        <v>500000</v>
      </c>
      <c r="D16" s="6">
        <f t="shared" si="3"/>
        <v>3004000</v>
      </c>
      <c r="E16" s="6">
        <f>E15+D15</f>
        <v>10024000</v>
      </c>
    </row>
    <row r="17" ht="22.5" customHeight="1">
      <c r="A17" s="5">
        <v>7.0</v>
      </c>
      <c r="B17" s="6">
        <f t="shared" si="1"/>
        <v>3504000</v>
      </c>
      <c r="C17" s="6">
        <f t="shared" si="2"/>
        <v>500000</v>
      </c>
      <c r="D17" s="6">
        <f t="shared" si="3"/>
        <v>3004000</v>
      </c>
      <c r="E17" s="6">
        <f>E16+D15</f>
        <v>13028000</v>
      </c>
    </row>
    <row r="18" ht="22.5" customHeight="1">
      <c r="A18" s="5">
        <v>8.0</v>
      </c>
      <c r="B18" s="6">
        <f t="shared" si="1"/>
        <v>3504000</v>
      </c>
      <c r="C18" s="6">
        <f t="shared" si="2"/>
        <v>500000</v>
      </c>
      <c r="D18" s="6">
        <f t="shared" si="3"/>
        <v>3004000</v>
      </c>
      <c r="E18" s="6">
        <f>E17+D15</f>
        <v>16032000</v>
      </c>
    </row>
    <row r="19" ht="22.5" customHeight="1">
      <c r="A19" s="5">
        <v>9.0</v>
      </c>
      <c r="B19" s="6">
        <f t="shared" si="1"/>
        <v>3504000</v>
      </c>
      <c r="C19" s="6">
        <f t="shared" si="2"/>
        <v>500000</v>
      </c>
      <c r="D19" s="6">
        <f t="shared" si="3"/>
        <v>3004000</v>
      </c>
      <c r="E19" s="6">
        <f>E18+D15</f>
        <v>19036000</v>
      </c>
    </row>
    <row r="20" ht="22.5" customHeight="1">
      <c r="A20" s="5">
        <v>10.0</v>
      </c>
      <c r="B20" s="6">
        <f t="shared" si="1"/>
        <v>3504000</v>
      </c>
      <c r="C20" s="6">
        <f t="shared" si="2"/>
        <v>500000</v>
      </c>
      <c r="D20" s="6">
        <f t="shared" si="3"/>
        <v>3004000</v>
      </c>
      <c r="E20" s="6">
        <f>E19+D19</f>
        <v>22040000</v>
      </c>
    </row>
    <row r="21" ht="22.5" customHeight="1">
      <c r="A21" s="5">
        <v>11.0</v>
      </c>
      <c r="B21" s="6">
        <f t="shared" si="1"/>
        <v>3504000</v>
      </c>
      <c r="C21" s="6">
        <f t="shared" si="2"/>
        <v>500000</v>
      </c>
      <c r="D21" s="6">
        <f t="shared" si="3"/>
        <v>3004000</v>
      </c>
      <c r="E21" s="6">
        <f>E20+D19</f>
        <v>25044000</v>
      </c>
    </row>
    <row r="22" ht="22.5" customHeight="1">
      <c r="A22" s="5">
        <v>12.0</v>
      </c>
      <c r="B22" s="6">
        <f t="shared" si="1"/>
        <v>3504000</v>
      </c>
      <c r="C22" s="6">
        <f t="shared" si="2"/>
        <v>500000</v>
      </c>
      <c r="D22" s="6">
        <f t="shared" si="3"/>
        <v>3004000</v>
      </c>
      <c r="E22" s="6">
        <f>E21+D19</f>
        <v>28048000</v>
      </c>
    </row>
    <row r="23" ht="22.5" customHeight="1">
      <c r="A23" s="5">
        <v>13.0</v>
      </c>
      <c r="B23" s="6">
        <f t="shared" si="1"/>
        <v>3504000</v>
      </c>
      <c r="C23" s="6">
        <f t="shared" si="2"/>
        <v>500000</v>
      </c>
      <c r="D23" s="6">
        <f t="shared" si="3"/>
        <v>3004000</v>
      </c>
      <c r="E23" s="6">
        <f>E22+D19</f>
        <v>31052000</v>
      </c>
    </row>
    <row r="24" ht="22.5" customHeight="1">
      <c r="A24" s="5">
        <v>14.0</v>
      </c>
      <c r="B24" s="6">
        <f t="shared" si="1"/>
        <v>3504000</v>
      </c>
      <c r="C24" s="6">
        <f t="shared" si="2"/>
        <v>500000</v>
      </c>
      <c r="D24" s="6">
        <f t="shared" si="3"/>
        <v>3004000</v>
      </c>
      <c r="E24" s="6">
        <f>E23+D23</f>
        <v>34056000</v>
      </c>
    </row>
    <row r="25" ht="22.5" customHeight="1">
      <c r="A25" s="5">
        <v>15.0</v>
      </c>
      <c r="B25" s="6">
        <f t="shared" si="1"/>
        <v>3504000</v>
      </c>
      <c r="C25" s="6">
        <f t="shared" si="2"/>
        <v>500000</v>
      </c>
      <c r="D25" s="6">
        <f t="shared" si="3"/>
        <v>3004000</v>
      </c>
      <c r="E25" s="6">
        <f>E24+D23</f>
        <v>37060000</v>
      </c>
    </row>
    <row r="26" ht="22.5" customHeight="1">
      <c r="A26" s="5">
        <v>16.0</v>
      </c>
      <c r="B26" s="6">
        <f t="shared" si="1"/>
        <v>3504000</v>
      </c>
      <c r="C26" s="6">
        <f t="shared" si="2"/>
        <v>500000</v>
      </c>
      <c r="D26" s="6">
        <f t="shared" si="3"/>
        <v>3004000</v>
      </c>
      <c r="E26" s="6">
        <f>E25+D23</f>
        <v>40064000</v>
      </c>
    </row>
    <row r="27" ht="22.5" customHeight="1">
      <c r="A27" s="5">
        <v>17.0</v>
      </c>
      <c r="B27" s="6">
        <f t="shared" si="1"/>
        <v>3504000</v>
      </c>
      <c r="C27" s="6">
        <f t="shared" si="2"/>
        <v>500000</v>
      </c>
      <c r="D27" s="6">
        <f t="shared" si="3"/>
        <v>3004000</v>
      </c>
      <c r="E27" s="6">
        <f>E26+D23</f>
        <v>43068000</v>
      </c>
    </row>
    <row r="28" ht="22.5" customHeight="1">
      <c r="A28" s="5">
        <v>18.0</v>
      </c>
      <c r="B28" s="6">
        <f t="shared" si="1"/>
        <v>3504000</v>
      </c>
      <c r="C28" s="6">
        <f t="shared" si="2"/>
        <v>500000</v>
      </c>
      <c r="D28" s="6">
        <f t="shared" si="3"/>
        <v>3004000</v>
      </c>
      <c r="E28" s="6">
        <f>E27+D27</f>
        <v>46072000</v>
      </c>
    </row>
    <row r="29" ht="22.5" customHeight="1">
      <c r="A29" s="5">
        <v>19.0</v>
      </c>
      <c r="B29" s="6">
        <f t="shared" si="1"/>
        <v>3504000</v>
      </c>
      <c r="C29" s="6">
        <f t="shared" si="2"/>
        <v>500000</v>
      </c>
      <c r="D29" s="6">
        <f t="shared" si="3"/>
        <v>3004000</v>
      </c>
      <c r="E29" s="6">
        <f>E28+D27</f>
        <v>49076000</v>
      </c>
    </row>
    <row r="30" ht="22.5" customHeight="1">
      <c r="A30" s="5">
        <v>20.0</v>
      </c>
      <c r="B30" s="6">
        <f t="shared" si="1"/>
        <v>3504000</v>
      </c>
      <c r="C30" s="6">
        <f t="shared" si="2"/>
        <v>500000</v>
      </c>
      <c r="D30" s="6">
        <f t="shared" si="3"/>
        <v>3004000</v>
      </c>
      <c r="E30" s="6">
        <f>E29+D27</f>
        <v>52080000</v>
      </c>
    </row>
    <row r="31" ht="22.5" customHeight="1">
      <c r="A31" s="5">
        <v>21.0</v>
      </c>
      <c r="B31" s="6">
        <f t="shared" si="1"/>
        <v>3504000</v>
      </c>
      <c r="C31" s="6">
        <f t="shared" si="2"/>
        <v>500000</v>
      </c>
      <c r="D31" s="6">
        <f t="shared" si="3"/>
        <v>3004000</v>
      </c>
      <c r="E31" s="6">
        <f>E30+D30</f>
        <v>55084000</v>
      </c>
    </row>
    <row r="32" ht="22.5" customHeight="1">
      <c r="A32" s="5">
        <v>22.0</v>
      </c>
      <c r="B32" s="6">
        <f t="shared" si="1"/>
        <v>3504000</v>
      </c>
      <c r="C32" s="6">
        <f t="shared" si="2"/>
        <v>500000</v>
      </c>
      <c r="D32" s="6">
        <f t="shared" si="3"/>
        <v>3004000</v>
      </c>
      <c r="E32" s="6">
        <f>E31+D30</f>
        <v>58088000</v>
      </c>
    </row>
    <row r="33" ht="22.5" customHeight="1">
      <c r="A33" s="5">
        <v>23.0</v>
      </c>
      <c r="B33" s="6">
        <f t="shared" si="1"/>
        <v>3504000</v>
      </c>
      <c r="C33" s="6">
        <f t="shared" si="2"/>
        <v>500000</v>
      </c>
      <c r="D33" s="6">
        <f t="shared" si="3"/>
        <v>3004000</v>
      </c>
      <c r="E33" s="6">
        <f>E32+D30</f>
        <v>61092000</v>
      </c>
    </row>
    <row r="34" ht="22.5" customHeight="1">
      <c r="A34" s="5">
        <v>24.0</v>
      </c>
      <c r="B34" s="6">
        <f t="shared" si="1"/>
        <v>3504000</v>
      </c>
      <c r="C34" s="6">
        <f t="shared" si="2"/>
        <v>500000</v>
      </c>
      <c r="D34" s="6">
        <f t="shared" si="3"/>
        <v>3004000</v>
      </c>
      <c r="E34" s="6">
        <f>E33+D30</f>
        <v>64096000</v>
      </c>
    </row>
    <row r="35" ht="22.5" customHeight="1">
      <c r="A35" s="5">
        <v>25.0</v>
      </c>
      <c r="B35" s="6">
        <f t="shared" si="1"/>
        <v>3504000</v>
      </c>
      <c r="C35" s="6">
        <f t="shared" si="2"/>
        <v>500000</v>
      </c>
      <c r="D35" s="6">
        <f t="shared" si="3"/>
        <v>3004000</v>
      </c>
      <c r="E35" s="6">
        <f>E34+D34</f>
        <v>67100000</v>
      </c>
    </row>
    <row r="38">
      <c r="A38" s="7" t="s">
        <v>12</v>
      </c>
    </row>
    <row r="39">
      <c r="A39" s="8">
        <f t="array" ref="A39">MATCH(TRUE, Table1[Cumulative Profit]&gt;0, 0)</f>
        <v>3</v>
      </c>
    </row>
    <row r="40">
      <c r="A40" s="9"/>
    </row>
    <row r="41">
      <c r="A41" s="10" t="s">
        <v>13</v>
      </c>
    </row>
    <row r="42">
      <c r="A42" s="11">
        <f t="array" ref="A42">NPV(B6, D11:D35) - B2</f>
        <v>24067027.67</v>
      </c>
    </row>
    <row r="43">
      <c r="A43" s="9"/>
    </row>
    <row r="44">
      <c r="A44" s="12" t="s">
        <v>14</v>
      </c>
    </row>
    <row r="45">
      <c r="A45" s="9">
        <f>(SUM(D11:D35) / B2) * 100</f>
        <v>938.75</v>
      </c>
    </row>
  </sheetData>
  <dataValidations>
    <dataValidation type="custom" allowBlank="1" showDropDown="1" sqref="A11:A35">
      <formula1>AND(ISNUMBER(A11),(NOT(OR(NOT(ISERROR(DATEVALUE(A11))), AND(ISNUMBER(A11), LEFT(CELL("format", A11))="D")))))</formula1>
    </dataValidation>
  </dataValidations>
  <drawing r:id="rId1"/>
  <tableParts count="1">
    <tablePart r:id="rId3"/>
  </tableParts>
</worksheet>
</file>